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os\CURSOS\SDW_DIO\"/>
    </mc:Choice>
  </mc:AlternateContent>
  <xr:revisionPtr revIDLastSave="0" documentId="13_ncr:1_{D0C30596-3E12-48F5-921C-B7CE073DECCF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8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4" l="1"/>
  <c r="C29" i="3"/>
  <c r="C19" i="3"/>
</calcChain>
</file>

<file path=xl/sharedStrings.xml><?xml version="1.0" encoding="utf-8"?>
<sst xmlns="http://schemas.openxmlformats.org/spreadsheetml/2006/main" count="2019" uniqueCount="323">
  <si>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</si>
  <si>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</si>
  <si>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</si>
  <si>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</si>
  <si>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</si>
  <si>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</si>
  <si>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</si>
  <si>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</si>
  <si>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</si>
  <si>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</si>
  <si>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</si>
  <si>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</si>
  <si>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</si>
  <si>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</si>
  <si>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</si>
  <si>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</si>
  <si>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</si>
  <si>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</si>
  <si>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</si>
  <si>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</si>
  <si>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</si>
  <si>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</si>
  <si>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</si>
  <si>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</si>
  <si>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</si>
  <si>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</si>
  <si>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</si>
  <si>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</si>
  <si>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</si>
  <si>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</si>
  <si>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</si>
  <si>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</si>
  <si>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</si>
  <si>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</si>
  <si>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</si>
  <si>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</si>
  <si>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</si>
  <si>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</si>
  <si>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</si>
  <si>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</si>
  <si>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</si>
  <si>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</si>
  <si>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</si>
  <si>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</si>
  <si>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</si>
  <si>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</si>
  <si>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</si>
  <si>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</si>
  <si>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</si>
  <si>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</si>
  <si>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</si>
  <si>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</si>
  <si>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</si>
  <si>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</si>
  <si>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</si>
  <si>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</si>
  <si>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</si>
  <si>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</si>
  <si>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</si>
  <si>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</si>
  <si>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</si>
  <si>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</si>
  <si>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</si>
  <si>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</si>
  <si>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</si>
  <si>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</si>
  <si>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</si>
  <si>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</si>
  <si>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</si>
  <si>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</si>
  <si>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</si>
  <si>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</si>
  <si>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</si>
  <si>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</si>
  <si>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</si>
  <si>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</si>
  <si>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</si>
  <si>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</si>
  <si>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</si>
  <si>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</si>
  <si>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</si>
  <si>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</si>
  <si>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</si>
  <si>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</si>
  <si>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</si>
  <si>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</si>
  <si>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</si>
  <si>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</si>
  <si>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</si>
  <si>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</si>
  <si>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</si>
  <si>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</si>
  <si>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</si>
  <si>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</si>
  <si>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</si>
  <si>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</si>
  <si>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</si>
  <si>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</si>
  <si>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</si>
  <si>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</si>
  <si>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</si>
  <si>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</si>
  <si>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</si>
  <si>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</si>
  <si>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</si>
  <si>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</si>
  <si>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</si>
  <si>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</si>
  <si>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</si>
  <si>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</si>
  <si>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</si>
  <si>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</si>
  <si>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</si>
  <si>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</si>
  <si>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</si>
  <si>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</si>
  <si>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</si>
  <si>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</si>
  <si>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</si>
  <si>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</si>
  <si>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</si>
  <si>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</si>
  <si>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</si>
  <si>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</si>
  <si>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</si>
  <si>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</si>
  <si>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</si>
  <si>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</si>
  <si>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</si>
  <si>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</si>
  <si>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</si>
  <si>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</si>
  <si>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</si>
  <si>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</si>
  <si>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</si>
  <si>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</si>
  <si>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</si>
  <si>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</si>
  <si>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</si>
  <si>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</si>
  <si>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</si>
  <si>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</si>
  <si>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</si>
  <si>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</si>
  <si>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</si>
  <si>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</si>
  <si>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</si>
  <si>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</si>
  <si>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</si>
  <si>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</si>
  <si>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</si>
  <si>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</si>
  <si>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</si>
  <si>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</si>
  <si>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</si>
  <si>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</si>
  <si>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</si>
  <si>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</si>
  <si>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</si>
  <si>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</si>
  <si>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</si>
  <si>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</si>
  <si>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</si>
  <si>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</si>
  <si>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</si>
  <si>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</si>
  <si>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</si>
  <si>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</si>
  <si>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</si>
  <si>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</si>
  <si>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</si>
  <si>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</si>
  <si>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</si>
  <si>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</si>
  <si>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</si>
  <si>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</si>
  <si>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</si>
  <si>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</si>
  <si>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</si>
  <si>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</si>
  <si>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</si>
  <si>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</si>
  <si>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</si>
  <si>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</si>
  <si>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</si>
  <si>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</si>
  <si>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</si>
  <si>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</si>
  <si>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</si>
  <si>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</si>
  <si>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</si>
  <si>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</si>
  <si>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</si>
  <si>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</si>
  <si>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</si>
  <si>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</si>
  <si>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</si>
  <si>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</si>
  <si>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</si>
  <si>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</si>
  <si>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</si>
  <si>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</si>
  <si>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</si>
  <si>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</si>
  <si>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</si>
  <si>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</si>
  <si>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</si>
  <si>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</si>
  <si>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</si>
  <si>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</si>
  <si>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</si>
  <si>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</si>
  <si>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</si>
  <si>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</si>
  <si>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</si>
  <si>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</si>
  <si>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</si>
  <si>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</si>
  <si>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</si>
  <si>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</si>
  <si>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</si>
  <si>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</si>
  <si>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</si>
  <si>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</si>
  <si>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</si>
  <si>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</si>
  <si>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</si>
  <si>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</si>
  <si>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</si>
  <si>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</si>
  <si>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</si>
  <si>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</si>
  <si>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</si>
  <si>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</si>
  <si>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</si>
  <si>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</si>
  <si>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</si>
  <si>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</si>
  <si>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</si>
  <si>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</si>
  <si>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</si>
  <si>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</si>
  <si>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</si>
  <si>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</si>
  <si>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</si>
  <si>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</si>
  <si>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</si>
  <si>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</si>
  <si>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</si>
  <si>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</si>
  <si>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</si>
  <si>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</si>
  <si>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</si>
  <si>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</si>
  <si>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</si>
  <si>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</si>
  <si>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</si>
  <si>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</si>
  <si>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</si>
  <si>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</si>
  <si>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</si>
  <si>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</si>
  <si>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</si>
  <si>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</si>
  <si>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</si>
  <si>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</si>
  <si>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</si>
  <si>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</si>
  <si>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</si>
  <si>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</si>
  <si>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</si>
  <si>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</si>
  <si>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</si>
  <si>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</si>
  <si>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</si>
  <si>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</si>
  <si>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</si>
  <si>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</si>
  <si>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</si>
  <si>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</si>
  <si>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</si>
  <si>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</si>
  <si>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</si>
  <si>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</si>
  <si>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</si>
  <si>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</si>
  <si>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</si>
  <si>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</si>
  <si>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</si>
  <si>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</si>
  <si>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</si>
  <si>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</si>
  <si>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</si>
  <si>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</si>
  <si>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</si>
  <si>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</si>
  <si>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</si>
  <si>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</si>
  <si>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</si>
  <si>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</si>
  <si>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</si>
  <si>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</si>
  <si>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</si>
  <si>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</si>
  <si>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</si>
  <si>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</si>
  <si>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</si>
  <si>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</si>
  <si>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</si>
  <si>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</si>
  <si>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</si>
  <si>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</si>
  <si>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</si>
  <si>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</si>
  <si>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</si>
  <si>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</si>
  <si>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XBOX GAME PASS SUBSCRIPTION SALES</t>
  </si>
  <si>
    <t>Pergunta de Negócio 3 - Total de vendas de assinaturas do EA Play</t>
  </si>
  <si>
    <t>Soma de EA Play Season Pass</t>
  </si>
  <si>
    <t>Pergunta de Negócio 4 - Total de Assinaturas do Minecraft Season Pass</t>
  </si>
  <si>
    <t>Soma de Minecraft Season Pass Price</t>
  </si>
  <si>
    <t>Bem-vinda, Liana!</t>
  </si>
  <si>
    <t>Calculation period: 01/01/2024 - 31/12/2024 | 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</si>
</sst>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5"/>
      <color theme="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rgb="FF22C55E"/>
      </right>
      <top/>
      <bottom/>
      <diagonal/>
    </border>
    <border>
      <left/>
      <right/>
      <top/>
      <bottom style="thick">
        <color rgb="FF22C55E"/>
      </bottom>
      <diagonal/>
    </border>
    <border>
      <left/>
      <right/>
      <top/>
      <bottom style="thick">
        <color theme="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7" borderId="2" xfId="0" applyFill="1" applyBorder="1"/>
    <xf numFmtId="44" fontId="0" fillId="0" borderId="0" xfId="2" applyFont="1"/>
    <xf numFmtId="164" fontId="0" fillId="0" borderId="0" xfId="0" applyNumberFormat="1"/>
    <xf numFmtId="0" fontId="0" fillId="8" borderId="0" xfId="0" applyFill="1" applyAlignment="1">
      <alignment horizontal="left"/>
    </xf>
    <xf numFmtId="44" fontId="0" fillId="8" borderId="0" xfId="2" applyFont="1" applyFill="1"/>
    <xf numFmtId="0" fontId="5" fillId="8" borderId="0" xfId="1" applyFont="1" applyFill="1" applyBorder="1"/>
    <xf numFmtId="0" fontId="0" fillId="8" borderId="0" xfId="0" applyFill="1"/>
    <xf numFmtId="0" fontId="5" fillId="8" borderId="4" xfId="1" applyFont="1" applyFill="1" applyBorder="1" applyAlignment="1">
      <alignment horizontal="left" indent="1"/>
    </xf>
    <xf numFmtId="0" fontId="4" fillId="6" borderId="0" xfId="0" applyFont="1" applyFill="1"/>
    <xf numFmtId="0" fontId="5" fillId="8" borderId="0" xfId="1" applyFont="1" applyFill="1" applyBorder="1" applyAlignment="1">
      <alignment horizontal="left" indent="11"/>
    </xf>
    <xf numFmtId="0" fontId="0" fillId="7" borderId="0" xfId="0" applyFill="1" applyBorder="1"/>
    <xf numFmtId="14" fontId="0" fillId="7" borderId="0" xfId="0" applyNumberFormat="1" applyFill="1"/>
    <xf numFmtId="0" fontId="0" fillId="8" borderId="3" xfId="0" applyFill="1" applyBorder="1"/>
    <xf numFmtId="0" fontId="5" fillId="8" borderId="3" xfId="1" applyFont="1" applyFill="1" applyBorder="1"/>
  </cellXfs>
  <cellStyles count="3">
    <cellStyle name="Moeda" xfId="2" builtinId="4"/>
    <cellStyle name="Normal" xfId="0" builtinId="0"/>
    <cellStyle name="Título 1" xfId="1" builtinId="16"/>
  </cellStyles>
  <dxfs count="48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color theme="0"/>
        <name val="Segoi UI"/>
      </font>
      <fill>
        <patternFill>
          <bgColor rgb="FF2AE6B1"/>
        </patternFill>
      </fill>
      <border>
        <bottom style="thin">
          <color theme="6"/>
        </bottom>
        <vertical/>
        <horizontal/>
      </border>
    </dxf>
    <dxf>
      <font>
        <color theme="1"/>
        <name val="Segoe UI"/>
        <family val="2"/>
        <scheme val="none"/>
      </font>
      <fill>
        <patternFill patternType="solid">
          <bgColor rgb="FF5BF6A8"/>
        </patternFill>
      </fill>
      <border diagonalUp="0" diagonalDown="0">
        <left/>
        <right/>
        <top/>
        <bottom/>
        <vertical/>
        <horizontal/>
      </border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3 2" pivot="0" table="0" count="10" xr9:uid="{CA24D5C3-9222-4C7B-86D2-1745BC0ADE16}">
      <tableStyleElement type="wholeTable" dxfId="7"/>
      <tableStyleElement type="headerRow" dxfId="6"/>
    </tableStyle>
    <tableStyle name="SlicerStyleLight3 3" pivot="0" table="0" count="10" xr9:uid="{C9D1599C-A15B-4ED8-AB0A-F00F5A675EEF}">
      <tableStyleElement type="wholeTable" dxfId="33"/>
      <tableStyleElement type="headerRow" dxfId="32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3 3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C̳álculos!$B$6:$B$8</c:f>
              <c:numCache>
                <c:formatCode>_-[$R$-416]\ * #,##0.00_-;\-[$R$-416]\ * #,##0.00_-;_-[$R$-416]\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1-4297-995F-24A1B5603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425216"/>
        <c:axId val="166411904"/>
      </c:barChart>
      <c:catAx>
        <c:axId val="16642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411904"/>
        <c:crosses val="autoZero"/>
        <c:auto val="1"/>
        <c:lblAlgn val="ctr"/>
        <c:lblOffset val="100"/>
        <c:noMultiLvlLbl val="0"/>
      </c:catAx>
      <c:valAx>
        <c:axId val="16641190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42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26</xdr:row>
      <xdr:rowOff>15240</xdr:rowOff>
    </xdr:from>
    <xdr:to>
      <xdr:col>19</xdr:col>
      <xdr:colOff>495300</xdr:colOff>
      <xdr:row>37</xdr:row>
      <xdr:rowOff>67628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4C4C97FA-F25B-497C-95D8-50345ACB77FD}"/>
            </a:ext>
          </a:extLst>
        </xdr:cNvPr>
        <xdr:cNvSpPr/>
      </xdr:nvSpPr>
      <xdr:spPr>
        <a:xfrm>
          <a:off x="1906905" y="5318760"/>
          <a:ext cx="10856595" cy="206406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210859</xdr:colOff>
      <xdr:row>22</xdr:row>
      <xdr:rowOff>46264</xdr:rowOff>
    </xdr:from>
    <xdr:to>
      <xdr:col>18</xdr:col>
      <xdr:colOff>495797</xdr:colOff>
      <xdr:row>37</xdr:row>
      <xdr:rowOff>74840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A1931C-5478-47CA-A86F-AFF52A07C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 editAs="absolute">
    <xdr:from>
      <xdr:col>0</xdr:col>
      <xdr:colOff>5862</xdr:colOff>
      <xdr:row>5</xdr:row>
      <xdr:rowOff>11432</xdr:rowOff>
    </xdr:from>
    <xdr:to>
      <xdr:col>0</xdr:col>
      <xdr:colOff>1805354</xdr:colOff>
      <xdr:row>17</xdr:row>
      <xdr:rowOff>58616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41E1E499-EA9B-4284-A920-642BB3992B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62" y="1293385"/>
              <a:ext cx="1799492" cy="23869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1</xdr:col>
      <xdr:colOff>17449</xdr:colOff>
      <xdr:row>0</xdr:row>
      <xdr:rowOff>86946</xdr:rowOff>
    </xdr:from>
    <xdr:to>
      <xdr:col>2</xdr:col>
      <xdr:colOff>484387</xdr:colOff>
      <xdr:row>2</xdr:row>
      <xdr:rowOff>95411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6008BC6-9ABF-4FF0-BACA-D0C2277416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5502" b="-6390"/>
        <a:stretch/>
      </xdr:blipFill>
      <xdr:spPr>
        <a:xfrm>
          <a:off x="1837284" y="86946"/>
          <a:ext cx="708985" cy="635994"/>
        </a:xfrm>
        <a:prstGeom prst="rect">
          <a:avLst/>
        </a:prstGeom>
      </xdr:spPr>
    </xdr:pic>
    <xdr:clientData/>
  </xdr:twoCellAnchor>
  <xdr:twoCellAnchor>
    <xdr:from>
      <xdr:col>1</xdr:col>
      <xdr:colOff>136715</xdr:colOff>
      <xdr:row>5</xdr:row>
      <xdr:rowOff>20452</xdr:rowOff>
    </xdr:from>
    <xdr:to>
      <xdr:col>9</xdr:col>
      <xdr:colOff>441516</xdr:colOff>
      <xdr:row>16</xdr:row>
      <xdr:rowOff>41183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86CD0E1E-F27B-4CA9-BFF8-C6F2256A742D}"/>
            </a:ext>
          </a:extLst>
        </xdr:cNvPr>
        <xdr:cNvGrpSpPr/>
      </xdr:nvGrpSpPr>
      <xdr:grpSpPr>
        <a:xfrm>
          <a:off x="1956550" y="1302405"/>
          <a:ext cx="5181601" cy="2181225"/>
          <a:chOff x="1857375" y="1314450"/>
          <a:chExt cx="4819651" cy="2200275"/>
        </a:xfrm>
      </xdr:grpSpPr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682B1EFD-3CC7-47BE-BAF1-47B37BF47260}"/>
              </a:ext>
            </a:extLst>
          </xdr:cNvPr>
          <xdr:cNvSpPr/>
        </xdr:nvSpPr>
        <xdr:spPr>
          <a:xfrm>
            <a:off x="1857375" y="1762125"/>
            <a:ext cx="4819650" cy="175260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19">
        <xdr:nvSpPr>
          <xdr:cNvPr id="8" name="Retângulo 7">
            <a:extLst>
              <a:ext uri="{FF2B5EF4-FFF2-40B4-BE49-F238E27FC236}">
                <a16:creationId xmlns:a16="http://schemas.microsoft.com/office/drawing/2014/main" id="{8974AB1B-0E6C-4DE0-A590-FB8BBCD2BBAA}"/>
              </a:ext>
            </a:extLst>
          </xdr:cNvPr>
          <xdr:cNvSpPr/>
        </xdr:nvSpPr>
        <xdr:spPr>
          <a:xfrm>
            <a:off x="2409825" y="2163604"/>
            <a:ext cx="4219575" cy="1019174"/>
          </a:xfrm>
          <a:prstGeom prst="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757DC1D-BB87-4A29-A8D0-A7AEF59E0670}" type="TxLink">
              <a:rPr lang="en-US" sz="4000" b="0" i="0" u="none" strike="noStrike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rgbClr val="2AE6B1"/>
                </a:solidFill>
                <a:latin typeface="Aptos Narrow"/>
              </a:rPr>
              <a:pPr algn="ctr"/>
              <a:t> R$ 600,00 </a:t>
            </a:fld>
            <a:endParaRPr lang="en-US" sz="400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2AE6B1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2FCE0E36-FC69-4731-ABDC-E382B77B67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81200" y="2090261"/>
            <a:ext cx="1219200" cy="116586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31742540-7402-4E82-AFF7-78A0205A0AC3}"/>
              </a:ext>
            </a:extLst>
          </xdr:cNvPr>
          <xdr:cNvSpPr/>
        </xdr:nvSpPr>
        <xdr:spPr>
          <a:xfrm>
            <a:off x="1857376" y="1314450"/>
            <a:ext cx="4819650" cy="438150"/>
          </a:xfrm>
          <a:prstGeom prst="round2SameRect">
            <a:avLst/>
          </a:prstGeom>
          <a:solidFill>
            <a:srgbClr val="2AE6B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/>
              <a:t>TOTAL SUBSCRIPTIONS EA PLAY</a:t>
            </a:r>
            <a:r>
              <a:rPr lang="pt-BR" sz="1100" baseline="0"/>
              <a:t> SEASON PASS</a:t>
            </a:r>
            <a:endParaRPr lang="pt-BR" sz="1100"/>
          </a:p>
        </xdr:txBody>
      </xdr:sp>
    </xdr:grpSp>
    <xdr:clientData/>
  </xdr:twoCellAnchor>
  <xdr:twoCellAnchor>
    <xdr:from>
      <xdr:col>11</xdr:col>
      <xdr:colOff>136715</xdr:colOff>
      <xdr:row>5</xdr:row>
      <xdr:rowOff>20452</xdr:rowOff>
    </xdr:from>
    <xdr:to>
      <xdr:col>19</xdr:col>
      <xdr:colOff>241491</xdr:colOff>
      <xdr:row>16</xdr:row>
      <xdr:rowOff>41183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A978FAFC-4F31-4719-8127-38E41C3AB784}"/>
            </a:ext>
          </a:extLst>
        </xdr:cNvPr>
        <xdr:cNvGrpSpPr/>
      </xdr:nvGrpSpPr>
      <xdr:grpSpPr>
        <a:xfrm>
          <a:off x="8052550" y="1302405"/>
          <a:ext cx="4820212" cy="2181225"/>
          <a:chOff x="7124700" y="1314450"/>
          <a:chExt cx="4819651" cy="2200275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9CFC20F1-BAA2-4310-82C5-081BB0CB52B6}"/>
              </a:ext>
            </a:extLst>
          </xdr:cNvPr>
          <xdr:cNvSpPr/>
        </xdr:nvSpPr>
        <xdr:spPr>
          <a:xfrm>
            <a:off x="7124700" y="1762125"/>
            <a:ext cx="4819650" cy="175260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29">
        <xdr:nvSpPr>
          <xdr:cNvPr id="13" name="Retângulo 12">
            <a:extLst>
              <a:ext uri="{FF2B5EF4-FFF2-40B4-BE49-F238E27FC236}">
                <a16:creationId xmlns:a16="http://schemas.microsoft.com/office/drawing/2014/main" id="{43CF6A9F-8DE0-426E-BAF4-D91814DB9A81}"/>
              </a:ext>
            </a:extLst>
          </xdr:cNvPr>
          <xdr:cNvSpPr/>
        </xdr:nvSpPr>
        <xdr:spPr>
          <a:xfrm>
            <a:off x="7677150" y="2128838"/>
            <a:ext cx="4219575" cy="1019174"/>
          </a:xfrm>
          <a:prstGeom prst="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fld id="{ABFBBCD3-A80B-4DDD-9C78-CC4EA04050A6}" type="TxLink">
              <a:rPr lang="en-US" sz="4000" b="0" i="0" u="none" strike="noStrike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rgbClr val="2AE6B1"/>
                </a:solidFill>
                <a:latin typeface="Aptos Narrow"/>
                <a:ea typeface="+mn-ea"/>
                <a:cs typeface="+mn-cs"/>
              </a:rPr>
              <a:pPr marL="0" indent="0" algn="ctr"/>
              <a:t> R$ 940,00 </a:t>
            </a:fld>
            <a:endParaRPr lang="en-US" sz="4000" b="0" i="0" u="none" strike="noStrike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2AE6B1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6F1A1911-1813-4951-9B29-91E2F9BD5FC4}"/>
              </a:ext>
            </a:extLst>
          </xdr:cNvPr>
          <xdr:cNvSpPr/>
        </xdr:nvSpPr>
        <xdr:spPr>
          <a:xfrm>
            <a:off x="7124701" y="1314450"/>
            <a:ext cx="4819650" cy="438150"/>
          </a:xfrm>
          <a:prstGeom prst="round2SameRect">
            <a:avLst/>
          </a:prstGeom>
          <a:solidFill>
            <a:srgbClr val="2AE6B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/>
              <a:t>TOTAL SUBSCRIPTIONS EA PLAY</a:t>
            </a:r>
            <a:r>
              <a:rPr lang="pt-BR" sz="1100" baseline="0"/>
              <a:t> SEASON PASS</a:t>
            </a:r>
            <a:endParaRPr lang="pt-BR" sz="1100"/>
          </a:p>
        </xdr:txBody>
      </xdr: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16C6EA0A-059D-4CA5-B73A-60EF7058BD9C}"/>
              </a:ext>
            </a:extLst>
          </xdr:cNvPr>
          <xdr:cNvGrpSpPr/>
        </xdr:nvGrpSpPr>
        <xdr:grpSpPr>
          <a:xfrm>
            <a:off x="7181850" y="2390771"/>
            <a:ext cx="1343025" cy="434436"/>
            <a:chOff x="3495675" y="5400674"/>
            <a:chExt cx="1549476" cy="609599"/>
          </a:xfrm>
        </xdr:grpSpPr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8F93BBB9-A18F-44D4-AB44-D511048D7D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7" name="Gráfico 16">
              <a:extLst>
                <a:ext uri="{FF2B5EF4-FFF2-40B4-BE49-F238E27FC236}">
                  <a16:creationId xmlns:a16="http://schemas.microsoft.com/office/drawing/2014/main" id="{91853CC9-AAA6-4BEE-AA8A-1990D775B80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619571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85725</xdr:colOff>
      <xdr:row>23</xdr:row>
      <xdr:rowOff>119063</xdr:rowOff>
    </xdr:from>
    <xdr:to>
      <xdr:col>19</xdr:col>
      <xdr:colOff>504825</xdr:colOff>
      <xdr:row>26</xdr:row>
      <xdr:rowOff>14288</xdr:rowOff>
    </xdr:to>
    <xdr:sp macro="" textlink="">
      <xdr:nvSpPr>
        <xdr:cNvPr id="20" name="Retângulo: Cantos Superiores Arredondados 19">
          <a:extLst>
            <a:ext uri="{FF2B5EF4-FFF2-40B4-BE49-F238E27FC236}">
              <a16:creationId xmlns:a16="http://schemas.microsoft.com/office/drawing/2014/main" id="{1F9DA8EF-A0F1-485E-B4E1-25D79973DA05}"/>
            </a:ext>
          </a:extLst>
        </xdr:cNvPr>
        <xdr:cNvSpPr/>
      </xdr:nvSpPr>
      <xdr:spPr>
        <a:xfrm>
          <a:off x="1905000" y="4843463"/>
          <a:ext cx="10868025" cy="438150"/>
        </a:xfrm>
        <a:prstGeom prst="round2SameRect">
          <a:avLst/>
        </a:prstGeom>
        <a:solidFill>
          <a:srgbClr val="2AE6B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TOTAL SUBSCRIPTIONS XBOX</a:t>
          </a:r>
          <a:r>
            <a:rPr lang="pt-BR" sz="1100" baseline="0"/>
            <a:t> GAME PASS</a:t>
          </a:r>
          <a:endParaRPr lang="pt-BR" sz="1100"/>
        </a:p>
      </xdr:txBody>
    </xdr:sp>
    <xdr:clientData/>
  </xdr:twoCellAnchor>
  <xdr:twoCellAnchor>
    <xdr:from>
      <xdr:col>0</xdr:col>
      <xdr:colOff>76201</xdr:colOff>
      <xdr:row>0</xdr:row>
      <xdr:rowOff>97972</xdr:rowOff>
    </xdr:from>
    <xdr:to>
      <xdr:col>0</xdr:col>
      <xdr:colOff>771526</xdr:colOff>
      <xdr:row>2</xdr:row>
      <xdr:rowOff>118655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6A3E3313-2072-41BA-9304-95741CF10AA2}"/>
            </a:ext>
          </a:extLst>
        </xdr:cNvPr>
        <xdr:cNvSpPr/>
      </xdr:nvSpPr>
      <xdr:spPr>
        <a:xfrm>
          <a:off x="76201" y="97972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Canuto" refreshedDate="46035.437600578705" createdVersion="7" refreshedVersion="7" minRefreshableVersion="3" recordCount="295" xr:uid="{D3F062D8-793D-4017-B7E0-57698172768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575680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57AC0-24E4-4BC7-AC96-CA5CDA440DE9}" name="Tabela dinâmica3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25:B2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A4F58-A2C4-4CD3-9D78-293CFCCB02B4}" name="Tabela dinâ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15:B19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" fld="8" baseField="2" baseItem="0" numFmtId="164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6C4D5-F5B1-40EA-9E65-7E717B12209D}" name="Tabela dinâ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5:B8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1">
    <format dxfId="29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DCA56A9-2A10-4654-957E-E38F6A5763A3}" sourceName="Subscription Type">
  <pivotTables>
    <pivotTable tabId="3" name="Tabela dinâmica1"/>
    <pivotTable tabId="3" name="Tabela dinâmica2"/>
    <pivotTable tabId="3" name="Tabela dinâmica3"/>
  </pivotTables>
  <data>
    <tabular pivotCacheId="105756801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7872A37-0DD1-4D91-BB68-15382DD739D1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46"/>
    <tableColumn id="2" xr3:uid="{53DD39D0-2220-4121-9E9D-4EAA7E151C0F}" name="Name" dataDxfId="45"/>
    <tableColumn id="3" xr3:uid="{4F5FF271-4C57-4BE0-8F2C-F82C8551625C}" name="Plan" dataDxfId="44"/>
    <tableColumn id="4" xr3:uid="{8C17EB93-79B9-4E55-B8F7-BEB82F8253E9}" name="Start Date" dataDxfId="43"/>
    <tableColumn id="5" xr3:uid="{48CEDF9B-1689-482A-A828-5CCE7713264A}" name="Auto Renewal" dataDxfId="42"/>
    <tableColumn id="6" xr3:uid="{78B82374-9AA7-4E38-AE4F-78CDE6C83720}" name="Subscription Price" dataDxfId="41" dataCellStyle="Moeda"/>
    <tableColumn id="7" xr3:uid="{F2433F68-AF33-49D0-B1FB-19A396074EDE}" name="Subscription Type" dataDxfId="40"/>
    <tableColumn id="8" xr3:uid="{FD4D9C95-F6E5-4933-9068-A71FF7DF9343}" name="EA Play Season Pass" dataDxfId="39"/>
    <tableColumn id="13" xr3:uid="{978DD0D2-834E-4CE4-A39B-30976086932F}" name="EA Play Season Pass_x000a_Price" dataDxfId="38" dataCellStyle="Moeda"/>
    <tableColumn id="9" xr3:uid="{6E29F111-C395-4580-9DAD-3407D9E8B1A4}" name="Minecraft Season Pass" dataDxfId="37"/>
    <tableColumn id="10" xr3:uid="{EF544EAA-7F25-4FD5-A10E-8E62804DB9E3}" name="Minecraft Season Pass Price" dataDxfId="36" dataCellStyle="Moeda"/>
    <tableColumn id="11" xr3:uid="{7F6EB64A-1F07-4E48-9F0F-AC7D9DCD26F8}" name="Coupon Value" dataDxfId="35" dataCellStyle="Moeda"/>
    <tableColumn id="12" xr3:uid="{2B04ABC8-DE6F-426E-ADC0-D8AFC68CA58E}" name="Total Value" dataDxfId="3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E2" zoomScale="90" zoomScaleNormal="90" workbookViewId="0">
      <selection sqref="A1:M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C29"/>
  <sheetViews>
    <sheetView showGridLines="0" topLeftCell="A7" workbookViewId="0">
      <selection activeCell="B15" sqref="B15"/>
    </sheetView>
  </sheetViews>
  <sheetFormatPr defaultRowHeight="14.4" x14ac:dyDescent="0.3"/>
  <cols>
    <col min="1" max="1" width="16.77734375" bestFit="1" customWidth="1"/>
    <col min="2" max="2" width="32.21875" style="15" bestFit="1" customWidth="1"/>
    <col min="3" max="3" width="29.21875" style="1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1:2" x14ac:dyDescent="0.3">
      <c r="A3" s="12" t="s">
        <v>16</v>
      </c>
      <c r="B3" t="s">
        <v>24</v>
      </c>
    </row>
    <row r="5" spans="1:2" x14ac:dyDescent="0.3">
      <c r="A5" s="12" t="s">
        <v>314</v>
      </c>
      <c r="B5" t="s">
        <v>313</v>
      </c>
    </row>
    <row r="6" spans="1:2" x14ac:dyDescent="0.3">
      <c r="A6" s="13" t="s">
        <v>23</v>
      </c>
      <c r="B6" s="16">
        <v>217</v>
      </c>
    </row>
    <row r="7" spans="1:2" x14ac:dyDescent="0.3">
      <c r="A7" s="13" t="s">
        <v>19</v>
      </c>
      <c r="B7" s="16">
        <v>1537</v>
      </c>
    </row>
    <row r="8" spans="1:2" x14ac:dyDescent="0.3">
      <c r="A8" s="13" t="s">
        <v>315</v>
      </c>
      <c r="B8" s="16">
        <v>1754</v>
      </c>
    </row>
    <row r="12" spans="1:2" x14ac:dyDescent="0.3">
      <c r="A12" t="s">
        <v>317</v>
      </c>
    </row>
    <row r="13" spans="1:2" x14ac:dyDescent="0.3">
      <c r="B13"/>
    </row>
    <row r="15" spans="1:2" x14ac:dyDescent="0.3">
      <c r="A15" s="12" t="s">
        <v>314</v>
      </c>
      <c r="B15" t="s">
        <v>318</v>
      </c>
    </row>
    <row r="16" spans="1:2" x14ac:dyDescent="0.3">
      <c r="A16" s="13" t="s">
        <v>22</v>
      </c>
      <c r="B16" s="16">
        <v>0</v>
      </c>
    </row>
    <row r="17" spans="1:3" x14ac:dyDescent="0.3">
      <c r="A17" s="13" t="s">
        <v>26</v>
      </c>
      <c r="B17" s="16">
        <v>0</v>
      </c>
    </row>
    <row r="18" spans="1:3" x14ac:dyDescent="0.3">
      <c r="A18" s="13" t="s">
        <v>18</v>
      </c>
      <c r="B18" s="16">
        <v>600</v>
      </c>
    </row>
    <row r="19" spans="1:3" x14ac:dyDescent="0.3">
      <c r="A19" s="13" t="s">
        <v>315</v>
      </c>
      <c r="B19" s="16">
        <v>600</v>
      </c>
      <c r="C19" s="15">
        <f>GETPIVOTDATA("EA Play Season Pass
Price",$A$15)</f>
        <v>600</v>
      </c>
    </row>
    <row r="22" spans="1:3" x14ac:dyDescent="0.3">
      <c r="A22" s="17" t="s">
        <v>319</v>
      </c>
      <c r="B22" s="18"/>
      <c r="C22" s="18"/>
    </row>
    <row r="23" spans="1:3" x14ac:dyDescent="0.3">
      <c r="A23" s="12" t="s">
        <v>16</v>
      </c>
      <c r="B23" t="s">
        <v>24</v>
      </c>
    </row>
    <row r="25" spans="1:3" x14ac:dyDescent="0.3">
      <c r="A25" s="12" t="s">
        <v>314</v>
      </c>
      <c r="B25" t="s">
        <v>320</v>
      </c>
    </row>
    <row r="26" spans="1:3" x14ac:dyDescent="0.3">
      <c r="A26" s="13" t="s">
        <v>22</v>
      </c>
      <c r="B26" s="16">
        <v>0</v>
      </c>
    </row>
    <row r="27" spans="1:3" x14ac:dyDescent="0.3">
      <c r="A27" s="13" t="s">
        <v>26</v>
      </c>
      <c r="B27" s="16">
        <v>540</v>
      </c>
    </row>
    <row r="28" spans="1:3" x14ac:dyDescent="0.3">
      <c r="A28" s="13" t="s">
        <v>18</v>
      </c>
      <c r="B28" s="16">
        <v>400</v>
      </c>
    </row>
    <row r="29" spans="1:3" x14ac:dyDescent="0.3">
      <c r="A29" s="13" t="s">
        <v>315</v>
      </c>
      <c r="B29" s="16">
        <v>940</v>
      </c>
      <c r="C29" s="15">
        <f>GETPIVOTDATA("Minecraft Season Pass Price",$A$25)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EH9"/>
  <sheetViews>
    <sheetView showGridLines="0" tabSelected="1" zoomScale="85" zoomScaleNormal="85" workbookViewId="0">
      <selection activeCell="L22" sqref="L22"/>
    </sheetView>
  </sheetViews>
  <sheetFormatPr defaultRowHeight="14.4" x14ac:dyDescent="0.3"/>
  <cols>
    <col min="1" max="1" width="26.5546875" style="6" customWidth="1"/>
    <col min="2" max="2" width="3.5546875" style="24" customWidth="1"/>
    <col min="3" max="8" width="8.88671875" style="7"/>
    <col min="9" max="9" width="14.21875" style="7" customWidth="1"/>
    <col min="10" max="11" width="8.88671875" style="7"/>
    <col min="12" max="12" width="6.5546875" style="7" customWidth="1"/>
    <col min="13" max="16362" width="8.88671875" style="7"/>
  </cols>
  <sheetData>
    <row r="1" spans="1:25" ht="10.8" customHeight="1" x14ac:dyDescent="0.4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39" customHeight="1" thickBot="1" x14ac:dyDescent="0.45">
      <c r="B2" s="23" t="s">
        <v>316</v>
      </c>
      <c r="C2" s="21"/>
      <c r="D2" s="26"/>
      <c r="E2" s="27"/>
      <c r="F2" s="27"/>
      <c r="G2" s="27"/>
      <c r="H2" s="27"/>
      <c r="I2" s="27"/>
      <c r="J2" s="27"/>
      <c r="K2" s="27"/>
      <c r="L2" s="27"/>
      <c r="M2" s="27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5" ht="20.399999999999999" customHeight="1" thickTop="1" x14ac:dyDescent="0.4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ht="21" customHeight="1" x14ac:dyDescent="0.3">
      <c r="A4" s="22" t="s">
        <v>321</v>
      </c>
      <c r="B4" s="24" t="s">
        <v>322</v>
      </c>
      <c r="I4" s="25">
        <f ca="1">TODAY()</f>
        <v>46035</v>
      </c>
    </row>
    <row r="5" spans="1:25" ht="10.5" customHeight="1" x14ac:dyDescent="0.3"/>
    <row r="6" spans="1:25" ht="9.75" customHeight="1" x14ac:dyDescent="0.3"/>
    <row r="7" spans="1:25" ht="33" customHeight="1" x14ac:dyDescent="0.3"/>
    <row r="9" spans="1:25" x14ac:dyDescent="0.3">
      <c r="J9" s="14"/>
    </row>
  </sheetData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Pedro Canuto</cp:lastModifiedBy>
  <dcterms:created xsi:type="dcterms:W3CDTF">2024-12-19T13:13:10Z</dcterms:created>
  <dcterms:modified xsi:type="dcterms:W3CDTF">2026-01-13T15:32:17Z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